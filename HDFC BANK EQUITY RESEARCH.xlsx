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b25593b3b9d3a/Desktop/project 1/2.excel model/"/>
    </mc:Choice>
  </mc:AlternateContent>
  <xr:revisionPtr revIDLastSave="900" documentId="8_{E35AD3EE-6CFD-4710-ACF8-E48E723F1280}" xr6:coauthVersionLast="47" xr6:coauthVersionMax="47" xr10:uidLastSave="{28B109A4-C1DB-4D73-B8AA-18F8B61F9C8C}"/>
  <bookViews>
    <workbookView xWindow="-108" yWindow="-108" windowWidth="23256" windowHeight="12456" firstSheet="11" activeTab="13" xr2:uid="{B4E357B5-1512-40A6-A26C-A3A562F5D649}"/>
  </bookViews>
  <sheets>
    <sheet name="1. BANK OVERVIEW" sheetId="1" r:id="rId1"/>
    <sheet name="2. HISTORICAL FINANCES" sheetId="2" r:id="rId2"/>
    <sheet name="3. LOANS &amp; DIPOSITS" sheetId="3" r:id="rId3"/>
    <sheet name="4.NII &amp; NIM" sheetId="4" r:id="rId4"/>
    <sheet name="5. ASSET QUALITY" sheetId="5" r:id="rId5"/>
    <sheet name="6.PROFITABILITY" sheetId="6" r:id="rId6"/>
    <sheet name="7. CAPITAL ADEQUACY" sheetId="7" r:id="rId7"/>
    <sheet name="8.PEER COMPARISION" sheetId="8" r:id="rId8"/>
    <sheet name="9.FORECASTS" sheetId="9" r:id="rId9"/>
    <sheet name="10.VALUATION" sheetId="10" r:id="rId10"/>
    <sheet name="11.BULL BASE BEAR" sheetId="11" r:id="rId11"/>
    <sheet name="12.RISK ANALYSIS" sheetId="12" r:id="rId12"/>
    <sheet name="13.INVESTMENT THESIS" sheetId="13" r:id="rId13"/>
    <sheet name="HDFC BANK — EQUIFINAL DASHBOARD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D9" i="11"/>
  <c r="C9" i="11"/>
  <c r="B9" i="11"/>
  <c r="D7" i="11"/>
  <c r="C7" i="11"/>
  <c r="B7" i="11"/>
  <c r="D5" i="11"/>
  <c r="C5" i="11"/>
  <c r="B5" i="11"/>
  <c r="B11" i="10"/>
  <c r="B10" i="10"/>
  <c r="B8" i="10"/>
  <c r="B6" i="10"/>
  <c r="C11" i="9"/>
  <c r="B11" i="9"/>
  <c r="F10" i="9"/>
  <c r="E10" i="9"/>
  <c r="D10" i="9"/>
  <c r="C10" i="9"/>
  <c r="B10" i="9"/>
  <c r="C7" i="7"/>
  <c r="D7" i="7"/>
  <c r="E7" i="7"/>
  <c r="F7" i="7"/>
  <c r="B7" i="7"/>
  <c r="F5" i="6"/>
  <c r="E5" i="6"/>
  <c r="D5" i="6"/>
  <c r="C5" i="6"/>
  <c r="F6" i="4"/>
  <c r="E6" i="4"/>
  <c r="D6" i="4"/>
  <c r="C6" i="4"/>
  <c r="F8" i="3"/>
  <c r="E8" i="3"/>
  <c r="D8" i="3"/>
  <c r="C8" i="3"/>
  <c r="B8" i="3"/>
  <c r="F7" i="3"/>
  <c r="E7" i="3"/>
  <c r="D7" i="3"/>
  <c r="C7" i="3"/>
  <c r="F6" i="3"/>
  <c r="E6" i="3"/>
  <c r="D6" i="3"/>
  <c r="C6" i="3"/>
  <c r="I6" i="2"/>
  <c r="M5" i="2"/>
  <c r="L5" i="2"/>
  <c r="K5" i="2"/>
  <c r="J5" i="2"/>
</calcChain>
</file>

<file path=xl/sharedStrings.xml><?xml version="1.0" encoding="utf-8"?>
<sst xmlns="http://schemas.openxmlformats.org/spreadsheetml/2006/main" count="217" uniqueCount="155">
  <si>
    <t>NIM</t>
  </si>
  <si>
    <t>NET INTEREST INCOME</t>
  </si>
  <si>
    <t>HDFC BANK COMPANY OVERVIEW</t>
  </si>
  <si>
    <t>BANK NAME</t>
  </si>
  <si>
    <t>HEADQUATERS</t>
  </si>
  <si>
    <t>INDUSTRY</t>
  </si>
  <si>
    <t>BUSINESS TYPE</t>
  </si>
  <si>
    <t>STOCK EXCHANGE</t>
  </si>
  <si>
    <t>TICKER</t>
  </si>
  <si>
    <t>PROJECT ROLE</t>
  </si>
  <si>
    <t>ANALYSIS PERIOD</t>
  </si>
  <si>
    <t>HDFC BANK LTD</t>
  </si>
  <si>
    <t>MUMBAI, MAHARSTRA,INDIA</t>
  </si>
  <si>
    <t xml:space="preserve">BANKING &amp; FINANCIAL SERVICES </t>
  </si>
  <si>
    <t>COMMERCIAL BANKING</t>
  </si>
  <si>
    <t>NSE/BSE</t>
  </si>
  <si>
    <t>EQUITY RESEARCH ANALYST</t>
  </si>
  <si>
    <t>HDFC BANK HISTORICAL FINANCES</t>
  </si>
  <si>
    <t>FINANCIAL METRICS</t>
  </si>
  <si>
    <t>FY 2022</t>
  </si>
  <si>
    <t>FY 2023</t>
  </si>
  <si>
    <t>FY2024</t>
  </si>
  <si>
    <t>FY2025</t>
  </si>
  <si>
    <t>FY 2026</t>
  </si>
  <si>
    <t>TOTAL ASSETS</t>
  </si>
  <si>
    <t>TOTAL DEPOSITS</t>
  </si>
  <si>
    <t>GROSS ADVANCES/LOANS</t>
  </si>
  <si>
    <t>NET PROFIT</t>
  </si>
  <si>
    <t>SHAREHOLDER'S EQUITY</t>
  </si>
  <si>
    <t>GROSS NPA</t>
  </si>
  <si>
    <t>NET NPA</t>
  </si>
  <si>
    <t>ROA</t>
  </si>
  <si>
    <t>ROE</t>
  </si>
  <si>
    <t>CAPITAL ADEQUACY RATION</t>
  </si>
  <si>
    <t>NII GROWTH ANALYSIS</t>
  </si>
  <si>
    <t>METRIC</t>
  </si>
  <si>
    <t>FY 2024</t>
  </si>
  <si>
    <t>FY 2025</t>
  </si>
  <si>
    <t>NII YoY Growth</t>
  </si>
  <si>
    <t>NII CAGR</t>
  </si>
  <si>
    <t>HDFC BANK — LOANS &amp; DEPOSITS ANALYSIS</t>
  </si>
  <si>
    <t>Financial Metric</t>
  </si>
  <si>
    <t>FY2022</t>
  </si>
  <si>
    <t>FY2023</t>
  </si>
  <si>
    <t>FY2026</t>
  </si>
  <si>
    <t>Total Deposits</t>
  </si>
  <si>
    <t>Gross Advances / Loans</t>
  </si>
  <si>
    <t>Deposit Growth</t>
  </si>
  <si>
    <t>Loan Growth</t>
  </si>
  <si>
    <t>Credit-Deposit Ratio</t>
  </si>
  <si>
    <t>HDFC BANK — NII &amp; NIM ANALYSIS</t>
  </si>
  <si>
    <t>Interest Income</t>
  </si>
  <si>
    <t>Interest Expense</t>
  </si>
  <si>
    <t>Net Interest Income</t>
  </si>
  <si>
    <t>Interest-Earning Assets</t>
  </si>
  <si>
    <t>HDFC BANK — ASSET QUALITY ANALYSIS</t>
  </si>
  <si>
    <t>Gross NPA %</t>
  </si>
  <si>
    <t>Net NPA %</t>
  </si>
  <si>
    <t>Provision Coverage Ratio</t>
  </si>
  <si>
    <t>Credit Cost</t>
  </si>
  <si>
    <t>Asset Quality Trend</t>
  </si>
  <si>
    <t>HDFC BANK — PROFITABILITY ANALYSIS</t>
  </si>
  <si>
    <t>Net Profit (PAT)</t>
  </si>
  <si>
    <t>PAT Growth</t>
  </si>
  <si>
    <t>Cost-to-Income Ratio</t>
  </si>
  <si>
    <t>HDFC BANK — CAPITAL ADEQUACY ANALYSIS</t>
  </si>
  <si>
    <t>Capital Adequacy Ratio (CRAR)</t>
  </si>
  <si>
    <t>CET1 Ratio</t>
  </si>
  <si>
    <t>Tier 1 Capital Ratio</t>
  </si>
  <si>
    <t>Capital Buffer over Regulatory Minimum</t>
  </si>
  <si>
    <t>Capital Adequacy Observation</t>
  </si>
  <si>
    <t>HDFC BANK — PEER COMPARISON</t>
  </si>
  <si>
    <t>GNPA</t>
  </si>
  <si>
    <t>CRAR</t>
  </si>
  <si>
    <t xml:space="preserve">HDFC </t>
  </si>
  <si>
    <t xml:space="preserve">Axis </t>
  </si>
  <si>
    <t>Kotak</t>
  </si>
  <si>
    <t>ICICI</t>
  </si>
  <si>
    <t>Growth deposits</t>
  </si>
  <si>
    <t>HDFC BANK — FINANCIAL FORECAST</t>
  </si>
  <si>
    <t>FY2026A</t>
  </si>
  <si>
    <t>FY2027E</t>
  </si>
  <si>
    <t>FY2029E</t>
  </si>
  <si>
    <t>FY2030E</t>
  </si>
  <si>
    <t>NII Growth</t>
  </si>
  <si>
    <t>Projected NII (₹ crore)</t>
  </si>
  <si>
    <t>Projected PAT (₹ crore)</t>
  </si>
  <si>
    <t>HDFC BANK — VALUATION ANALYSIS</t>
  </si>
  <si>
    <t>Valuation Metric</t>
  </si>
  <si>
    <t>Value</t>
  </si>
  <si>
    <t>FY2026 Book Value Per Share</t>
  </si>
  <si>
    <t>Current Share Price</t>
  </si>
  <si>
    <t>Current P/B Ratio</t>
  </si>
  <si>
    <t>Forecast Book Value Growth</t>
  </si>
  <si>
    <t>FY2027E Book Value Per Share</t>
  </si>
  <si>
    <t>Target P/B Multiple</t>
  </si>
  <si>
    <t>Implied FY2027 Share Price</t>
  </si>
  <si>
    <t>Potential Upside</t>
  </si>
  <si>
    <t>HDFC BANK — BULL / BASE / BEAR SCENARIO ANALYSIS</t>
  </si>
  <si>
    <t>BASE</t>
  </si>
  <si>
    <t>BULL</t>
  </si>
  <si>
    <t>BEAR</t>
  </si>
  <si>
    <t>Book Value Growth</t>
  </si>
  <si>
    <t>FY2027E BVPS</t>
  </si>
  <si>
    <t>Target P/B</t>
  </si>
  <si>
    <t>Implied Share Price</t>
  </si>
  <si>
    <t>HDFC BANK — INVESTMENT THESIS</t>
  </si>
  <si>
    <t>Investment View</t>
  </si>
  <si>
    <t>Key Strengths</t>
  </si>
  <si>
    <t>Growth Drivers</t>
  </si>
  <si>
    <t>Key Risks</t>
  </si>
  <si>
    <t>Catalysts</t>
  </si>
  <si>
    <t>Valuation View</t>
  </si>
  <si>
    <t>Final Recommendation</t>
  </si>
  <si>
    <t>Strong capital adequacy, large deposit franchise, controlled asset quality and consistent profitability.</t>
  </si>
  <si>
    <t>Loan growth, deposit expansion, improving credit demand, stable NIM and continued earnings growth.</t>
  </si>
  <si>
    <t>NIM compression, slower credit growth, deterioration in asset quality, higher credit costs and valuation compression.</t>
  </si>
  <si>
    <t>Improvement in margins, stronger loan growth, deposit franchise expansion, lower credit costs and sustained profitability.</t>
  </si>
  <si>
    <t>Base-case valuation indicates approximately 23% potential upside, while scenario analysis shows meaningful sensitivity to growth and P/B assumptions.</t>
  </si>
  <si>
    <t>BUY — subject to the assumptions and valuation framework used in this analysis.</t>
  </si>
  <si>
    <t>positive</t>
  </si>
  <si>
    <t>why?</t>
  </si>
  <si>
    <t>HDFC Bank combines scale, strong capitalization and a resilient deposit franchise with improving earnings potential. Our base-case P/B valuation indicates approximately 23% upside, although margin pressure and asset-quality deterioration remain key risks.</t>
  </si>
  <si>
    <t>HDFC BANK — EQUITY RESEARCH DASHBOARD</t>
  </si>
  <si>
    <t>5-Year Financial Analysis</t>
  </si>
  <si>
    <t>KEY FINANCIAL METRICS</t>
  </si>
  <si>
    <t>FY2026 NII Growth</t>
  </si>
  <si>
    <t>FY2026 Loan Growth</t>
  </si>
  <si>
    <t>FY2026 Deposit Growth</t>
  </si>
  <si>
    <t>FY2026 NIM</t>
  </si>
  <si>
    <t>FY2026 GNPA</t>
  </si>
  <si>
    <t>FY2026 ROA</t>
  </si>
  <si>
    <t>FY2026 ROE</t>
  </si>
  <si>
    <t>FY2026 CRAR</t>
  </si>
  <si>
    <t>VALUATION SUMMARY</t>
  </si>
  <si>
    <t>Base Target Price</t>
  </si>
  <si>
    <t>Base Upside</t>
  </si>
  <si>
    <t>Bear Target</t>
  </si>
  <si>
    <t>Bull Target</t>
  </si>
  <si>
    <t>Current P/B</t>
  </si>
  <si>
    <t>2.00x</t>
  </si>
  <si>
    <t>2.20x</t>
  </si>
  <si>
    <t>BUY</t>
  </si>
  <si>
    <t>SCENARIO ANALYSIS</t>
  </si>
  <si>
    <t>Scenario</t>
  </si>
  <si>
    <t>Target Price</t>
  </si>
  <si>
    <t>Upside / Downside</t>
  </si>
  <si>
    <t>Bear</t>
  </si>
  <si>
    <t>Base</t>
  </si>
  <si>
    <t>Bull</t>
  </si>
  <si>
    <t>FINAL INVESTMENT VIEW</t>
  </si>
  <si>
    <t>Year</t>
  </si>
  <si>
    <t>NII</t>
  </si>
  <si>
    <t>Loans</t>
  </si>
  <si>
    <t>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</si>
</sst>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  <xf numFmtId="0" fontId="0" fillId="0" borderId="0" xfId="0" applyAlignment="1">
      <alignment horizontal="center"/>
    </xf>
    <xf numFmtId="0" fontId="2" fillId="0" borderId="0" xfId="2"/>
    <xf numFmtId="0" fontId="4" fillId="0" borderId="0" xfId="0" applyFont="1"/>
    <xf numFmtId="0" fontId="0" fillId="0" borderId="0" xfId="0" applyAlignment="1">
      <alignment vertical="center" wrapText="1"/>
    </xf>
    <xf numFmtId="10" fontId="0" fillId="0" borderId="0" xfId="0" applyNumberFormat="1"/>
    <xf numFmtId="10" fontId="3" fillId="0" borderId="0" xfId="0" applyNumberFormat="1" applyFont="1" applyAlignment="1">
      <alignment vertical="center" wrapText="1"/>
    </xf>
    <xf numFmtId="9" fontId="0" fillId="0" borderId="0" xfId="1" applyFont="1" applyAlignment="1">
      <alignment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9" fontId="4" fillId="0" borderId="0" xfId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/>
    </xf>
    <xf numFmtId="0" fontId="5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HDFC Bank — Net Interest Income Trend</a:t>
            </a:r>
            <a:endParaRPr lang="en-US"/>
          </a:p>
        </c:rich>
      </c:tx>
      <c:layout>
        <c:manualLayout>
          <c:xMode val="edge"/>
          <c:yMode val="edge"/>
          <c:x val="0.18333579136980088"/>
          <c:y val="2.3035230843847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'HDFC BANK — EQUIFINAL DASHBOARD'!$I$4</c:f>
              <c:strCache>
                <c:ptCount val="1"/>
                <c:pt idx="0">
                  <c:v>NII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'HDFC BANK — EQUIFINAL DASHBOARD'!$H$5:$H$9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'HDFC BANK — EQUIFINAL DASHBOARD'!$I$5:$I$9</c:f>
              <c:numCache>
                <c:formatCode>General</c:formatCode>
                <c:ptCount val="5"/>
                <c:pt idx="0">
                  <c:v>72009.59</c:v>
                </c:pt>
                <c:pt idx="1">
                  <c:v>86842.22</c:v>
                </c:pt>
                <c:pt idx="2">
                  <c:v>108532.5</c:v>
                </c:pt>
                <c:pt idx="3">
                  <c:v>122670</c:v>
                </c:pt>
                <c:pt idx="4">
                  <c:v>128686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9-43D9-91FF-624AE0314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15887"/>
        <c:axId val="421621871"/>
      </c:lineChart>
      <c:catAx>
        <c:axId val="5531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21871"/>
        <c:crosses val="autoZero"/>
        <c:auto val="1"/>
        <c:lblAlgn val="ctr"/>
        <c:lblOffset val="100"/>
        <c:noMultiLvlLbl val="0"/>
      </c:catAx>
      <c:valAx>
        <c:axId val="42162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HDFC Bank — Loans vs Deposits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'HDFC BANK — EQUIFINAL DASHBOARD'!$I$16</c:f>
              <c:strCache>
                <c:ptCount val="1"/>
                <c:pt idx="0">
                  <c:v>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'HDFC BANK — EQUIFINAL DASHBOARD'!$H$17:$H$21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'HDFC BANK — EQUIFINAL DASHBOARD'!$I$17:$I$21</c:f>
              <c:numCache>
                <c:formatCode>General</c:formatCode>
                <c:ptCount val="5"/>
                <c:pt idx="0">
                  <c:v>1368821</c:v>
                </c:pt>
                <c:pt idx="1">
                  <c:v>1600586</c:v>
                </c:pt>
                <c:pt idx="2">
                  <c:v>2484862</c:v>
                </c:pt>
                <c:pt idx="3">
                  <c:v>2643500</c:v>
                </c:pt>
                <c:pt idx="4">
                  <c:v>2937166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A-4B73-99C7-B769488C5DD9}"/>
            </c:ext>
          </c:extLst>
        </c:ser>
        <c:ser>
          <c:idx val="1"/>
          <c:order val="1"/>
          <c:tx>
            <c:strRef>
              <c:f>'HDFC BANK — EQUIFINAL DASHBOARD'!$J$16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'HDFC BANK — EQUIFINAL DASHBOARD'!$H$17:$H$21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'HDFC BANK — EQUIFINAL DASHBOARD'!$J$17:$J$21</c:f>
              <c:numCache>
                <c:formatCode>General</c:formatCode>
                <c:ptCount val="5"/>
                <c:pt idx="0">
                  <c:v>1559217</c:v>
                </c:pt>
                <c:pt idx="1">
                  <c:v>1883395</c:v>
                </c:pt>
                <c:pt idx="2">
                  <c:v>2379786</c:v>
                </c:pt>
                <c:pt idx="3">
                  <c:v>2714715</c:v>
                </c:pt>
                <c:pt idx="4">
                  <c:v>3105300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A-4B73-99C7-B769488C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612335"/>
        <c:axId val="795170607"/>
      </c:barChart>
      <c:catAx>
        <c:axId val="8106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170607"/>
        <c:crosses val="autoZero"/>
        <c:auto val="1"/>
        <c:lblAlgn val="ctr"/>
        <c:lblOffset val="100"/>
        <c:noMultiLvlLbl val="0"/>
      </c:catAx>
      <c:valAx>
        <c:axId val="7951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HDFC Bank — Scenario Valuation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'HDFC BANK — EQUIFINAL DASHBOARD'!$B$17</c:f>
              <c:strCache>
                <c:ptCount val="1"/>
                <c:pt idx="0">
                  <c:v>Target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'HDFC BANK — EQUIFINAL DASHBOARD'!$A$18:$A$20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'HDFC BANK — EQUIFINAL DASHBOARD'!$B$18:$B$20</c:f>
              <c:numCache>
                <c:formatCode>"₹"#,##0.00_);[Red]\("₹"#,##0.00\)</c:formatCode>
                <c:ptCount val="3"/>
                <c:pt idx="0">
                  <c:v>711.5</c:v>
                </c:pt>
                <c:pt idx="1">
                  <c:v>901.82</c:v>
                </c:pt>
                <c:pt idx="2">
                  <c:v>1052.25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B-4EC1-9FB8-797E5A7A2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7689903"/>
        <c:axId val="7950986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'HDFC BANK — EQUIFINAL DASHBOARD'!$C$17</c15:sqref>
                        </c15:formulaRef>
                      </c:ext>
                    </c:extLst>
                    <c:strCache>
                      <c:ptCount val="1"/>
                      <c:pt idx="0">
                        <c:v>Upside / Downside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'HDFC BANK — EQUIFINAL DASHBOARD'!$A$18:$A$20</c15:sqref>
                        </c15:formulaRef>
                      </c:ext>
                    </c:extLst>
                    <c:strCache>
                      <c:ptCount val="3"/>
                      <c:pt idx="0">
                        <c:v>Bear</c:v>
                      </c:pt>
                      <c:pt idx="1">
                        <c:v>Base</c:v>
                      </c:pt>
                      <c:pt idx="2">
                        <c:v>Bull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'HDFC BANK — EQUIFINAL DASHBOARD'!$C$18:$C$20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-2.9000000000000001E-2</c:v>
                      </c:pt>
                      <c:pt idx="1">
                        <c:v>0.23</c:v>
                      </c:pt>
                      <c:pt idx="2">
                        <c:v>0.436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EAB-4EC1-9FB8-797E5A7A2341}"/>
                  </c:ext>
                </c:extLst>
              </c15:ser>
            </c15:filteredBarSeries>
          </c:ext>
        </c:extLst>
      </c:barChart>
      <c:catAx>
        <c:axId val="8176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98607"/>
        <c:crosses val="autoZero"/>
        <c:auto val="1"/>
        <c:lblAlgn val="ctr"/>
        <c:lblOffset val="100"/>
        <c:noMultiLvlLbl val="0"/>
      </c:catAx>
      <c:valAx>
        <c:axId val="79509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8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416858</xdr:colOff>
      <xdr:row>3</xdr:row>
      <xdr:rowOff>699920</xdr:rowOff>
    </xdr:from>
    <xdr:to>
      <xdr:col>18</xdr:col>
      <xdr:colOff>112058</xdr:colOff>
      <xdr:row>9</xdr:row>
      <xdr:rowOff>162037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89EF30-6FD3-86AD-9908-A6D491900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16</xdr:row>
      <xdr:rowOff>499110</xdr:rowOff>
    </xdr:from>
    <xdr:to>
      <xdr:col>22</xdr:col>
      <xdr:colOff>342900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841764-BEBF-2107-5597-59B0BA8D5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217469</xdr:colOff>
      <xdr:row>21</xdr:row>
      <xdr:rowOff>33348</xdr:rowOff>
    </xdr:from>
    <xdr:to>
      <xdr:col>7</xdr:col>
      <xdr:colOff>434940</xdr:colOff>
      <xdr:row>36</xdr:row>
      <xdr:rowOff>67596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6D78D8-A391-6235-8209-4AE18D2EA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A3F6-DEC8-482A-A5B8-1B488DCF5D96}">
  <dimension ref="A1:G10"/>
  <sheetViews>
    <sheetView workbookViewId="0">
      <selection activeCell="B10" sqref="B10"/>
    </sheetView>
  </sheetViews>
  <sheetFormatPr defaultRowHeight="14.4"/>
  <sheetData>
    <row r="1" spans="1:7">
      <c r="A1" s="19" t="s">
        <v>2</v>
      </c>
      <c r="B1" s="19"/>
      <c r="C1" s="19"/>
      <c r="D1" s="19"/>
    </row>
    <row r="2" spans="1:7">
      <c r="A2" s="4"/>
    </row>
    <row r="3" spans="1:7" ht="28.8">
      <c r="A3" s="2" t="s">
        <v>3</v>
      </c>
      <c r="B3" t="s">
        <v>11</v>
      </c>
    </row>
    <row r="4" spans="1:7" ht="28.8">
      <c r="A4" s="2" t="s">
        <v>4</v>
      </c>
      <c r="B4" t="s">
        <v>12</v>
      </c>
    </row>
    <row r="5" spans="1:7" ht="28.8">
      <c r="A5" s="2" t="s">
        <v>5</v>
      </c>
      <c r="B5" t="s">
        <v>13</v>
      </c>
      <c r="G5" s="5"/>
    </row>
    <row r="6" spans="1:7" ht="28.8">
      <c r="A6" s="2" t="s">
        <v>6</v>
      </c>
      <c r="B6" t="s">
        <v>14</v>
      </c>
    </row>
    <row r="7" spans="1:7" ht="43.2">
      <c r="A7" s="2" t="s">
        <v>7</v>
      </c>
      <c r="B7" t="s">
        <v>15</v>
      </c>
    </row>
    <row r="8" spans="1:7">
      <c r="A8" s="2" t="s">
        <v>8</v>
      </c>
      <c r="B8" t="s">
        <v>11</v>
      </c>
    </row>
    <row r="9" spans="1:7" ht="28.8">
      <c r="A9" s="2" t="s">
        <v>9</v>
      </c>
      <c r="B9" t="s">
        <v>16</v>
      </c>
    </row>
    <row r="10" spans="1:7" ht="28.8">
      <c r="A10" s="2" t="s">
        <v>10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8622-0692-4892-A988-3401C240052F}">
  <dimension ref="A1:M15"/>
  <sheetViews>
    <sheetView topLeftCell="A3" workbookViewId="0">
      <selection activeCell="I6" sqref="I6"/>
    </sheetView>
  </sheetViews>
  <sheetFormatPr defaultRowHeight="14.4"/>
  <sheetData>
    <row r="1" spans="1:13" ht="86.4">
      <c r="A1" s="2" t="s">
        <v>17</v>
      </c>
    </row>
    <row r="3" spans="1:13" ht="43.2">
      <c r="A3" s="2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H3" s="2" t="s">
        <v>34</v>
      </c>
    </row>
    <row r="4" spans="1:13" ht="28.8">
      <c r="A4" s="2" t="s">
        <v>24</v>
      </c>
      <c r="H4" t="s">
        <v>35</v>
      </c>
      <c r="I4" t="s">
        <v>19</v>
      </c>
      <c r="J4" t="s">
        <v>20</v>
      </c>
      <c r="K4" t="s">
        <v>36</v>
      </c>
      <c r="L4" t="s">
        <v>37</v>
      </c>
      <c r="M4" t="s">
        <v>23</v>
      </c>
    </row>
    <row r="5" spans="1:13" ht="28.8">
      <c r="A5" s="2" t="s">
        <v>25</v>
      </c>
      <c r="H5" s="2" t="s">
        <v>38</v>
      </c>
      <c r="J5" s="3">
        <f>(C7-B7)/B7</f>
        <v>0.20597139286210248</v>
      </c>
      <c r="K5" s="3">
        <f>(D7-C7)/C7</f>
        <v>0.24976969669054144</v>
      </c>
      <c r="L5" s="3">
        <f>(E7-D7)/D7</f>
        <v>0.13026052104208416</v>
      </c>
      <c r="M5" s="3">
        <f>(F7-E7)/E7</f>
        <v>4.9042145593869733E-2</v>
      </c>
    </row>
    <row r="6" spans="1:13" ht="57.6">
      <c r="A6" s="2" t="s">
        <v>26</v>
      </c>
      <c r="H6" t="s">
        <v>39</v>
      </c>
      <c r="I6" s="3">
        <f>(F7/B7)^(1/4)-1</f>
        <v>0.15620441312282396</v>
      </c>
    </row>
    <row r="7" spans="1:13" ht="43.2">
      <c r="A7" s="2" t="s">
        <v>1</v>
      </c>
      <c r="B7">
        <v>72010</v>
      </c>
      <c r="C7">
        <v>86842</v>
      </c>
      <c r="D7">
        <v>108532.5</v>
      </c>
      <c r="E7">
        <v>122670</v>
      </c>
      <c r="F7">
        <v>128686</v>
      </c>
    </row>
    <row r="8" spans="1:13" ht="28.8">
      <c r="A8" s="2" t="s">
        <v>27</v>
      </c>
    </row>
    <row r="9" spans="1:13" ht="43.2">
      <c r="A9" s="2" t="s">
        <v>28</v>
      </c>
    </row>
    <row r="10" spans="1:13" ht="28.8">
      <c r="A10" s="2" t="s">
        <v>29</v>
      </c>
    </row>
    <row r="11" spans="1:13">
      <c r="A11" s="2" t="s">
        <v>30</v>
      </c>
    </row>
    <row r="12" spans="1:13">
      <c r="A12" t="s">
        <v>31</v>
      </c>
    </row>
    <row r="13" spans="1:13">
      <c r="A13" t="s">
        <v>32</v>
      </c>
    </row>
    <row r="14" spans="1:13">
      <c r="A14" t="s">
        <v>0</v>
      </c>
    </row>
    <row r="15" spans="1:13" ht="57.6">
      <c r="A15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BFFA-A0BB-4FB5-91D8-CE8BF69A6330}">
  <dimension ref="A1:F8"/>
  <sheetViews>
    <sheetView workbookViewId="0">
      <selection activeCell="F6" sqref="F6"/>
    </sheetView>
  </sheetViews>
  <sheetFormatPr defaultRowHeight="14.4"/>
  <cols>
    <col min="6" max="6" width="11.6640625" bestFit="1" customWidth="1"/>
  </cols>
  <sheetData>
    <row r="1" spans="1:6" ht="72">
      <c r="A1" s="2" t="s">
        <v>40</v>
      </c>
    </row>
    <row r="3" spans="1:6" ht="28.8">
      <c r="A3" s="2" t="s">
        <v>41</v>
      </c>
      <c r="B3" t="s">
        <v>42</v>
      </c>
      <c r="C3" t="s">
        <v>43</v>
      </c>
      <c r="D3" t="s">
        <v>21</v>
      </c>
      <c r="E3" t="s">
        <v>22</v>
      </c>
      <c r="F3" t="s">
        <v>44</v>
      </c>
    </row>
    <row r="4" spans="1:6" ht="28.8">
      <c r="A4" s="2" t="s">
        <v>45</v>
      </c>
      <c r="B4">
        <v>1559217.44</v>
      </c>
      <c r="C4" s="6">
        <v>1883395</v>
      </c>
      <c r="D4">
        <v>2379786.2999999998</v>
      </c>
      <c r="E4">
        <v>2714715</v>
      </c>
      <c r="F4">
        <v>3105300</v>
      </c>
    </row>
    <row r="5" spans="1:6" ht="43.2">
      <c r="A5" s="2" t="s">
        <v>46</v>
      </c>
      <c r="B5" s="1">
        <v>1368821</v>
      </c>
      <c r="C5" s="1">
        <v>1600586</v>
      </c>
      <c r="D5" s="1">
        <v>2484862</v>
      </c>
      <c r="E5" s="1">
        <v>2643500</v>
      </c>
      <c r="F5" s="1">
        <v>2937166</v>
      </c>
    </row>
    <row r="6" spans="1:6" ht="28.8">
      <c r="A6" s="2" t="s">
        <v>47</v>
      </c>
      <c r="C6" s="3">
        <f t="shared" ref="C6:F7" si="0">(C4-B4)/B4</f>
        <v>0.20791042460376793</v>
      </c>
      <c r="D6" s="3">
        <f t="shared" si="0"/>
        <v>0.26356197186463798</v>
      </c>
      <c r="E6" s="3">
        <f t="shared" si="0"/>
        <v>0.14073898147913541</v>
      </c>
      <c r="F6" s="3">
        <f t="shared" si="0"/>
        <v>0.14387698156160039</v>
      </c>
    </row>
    <row r="7" spans="1:6" ht="28.8">
      <c r="A7" s="2" t="s">
        <v>48</v>
      </c>
      <c r="C7" s="3">
        <f t="shared" si="0"/>
        <v>0.16931724454841063</v>
      </c>
      <c r="D7" s="3">
        <f t="shared" si="0"/>
        <v>0.55247015780470399</v>
      </c>
      <c r="E7" s="3">
        <f t="shared" si="0"/>
        <v>6.3841774714249719E-2</v>
      </c>
      <c r="F7" s="3">
        <f t="shared" si="0"/>
        <v>0.11108984301115944</v>
      </c>
    </row>
    <row r="8" spans="1:6" ht="43.2">
      <c r="A8" s="2" t="s">
        <v>49</v>
      </c>
      <c r="B8" s="3">
        <f>B5/B4</f>
        <v>0.87788974448618284</v>
      </c>
      <c r="C8" s="3">
        <f>C5/C4</f>
        <v>0.84984084591920439</v>
      </c>
      <c r="D8" s="3">
        <f>D5/D4</f>
        <v>1.0441534183132326</v>
      </c>
      <c r="E8" s="3">
        <f>E5/E4</f>
        <v>0.97376704368598543</v>
      </c>
      <c r="F8" s="3">
        <f>F5/F4</f>
        <v>0.94585579493124661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0D0A-5B69-46B1-B352-C9CFF17D7E36}">
  <dimension ref="A1:F8"/>
  <sheetViews>
    <sheetView topLeftCell="G1" workbookViewId="0">
      <selection activeCell="B6" sqref="B6"/>
    </sheetView>
  </sheetViews>
  <sheetFormatPr defaultRowHeight="14.4"/>
  <sheetData>
    <row r="1" spans="1:6" ht="72">
      <c r="A1" s="2" t="s">
        <v>50</v>
      </c>
    </row>
    <row r="2" spans="1:6">
      <c r="A2" s="2"/>
    </row>
    <row r="3" spans="1:6" ht="28.8">
      <c r="A3" s="2" t="s">
        <v>41</v>
      </c>
      <c r="B3" s="7" t="s">
        <v>42</v>
      </c>
      <c r="C3" t="s">
        <v>43</v>
      </c>
      <c r="D3" s="1" t="s">
        <v>21</v>
      </c>
      <c r="E3" t="s">
        <v>22</v>
      </c>
      <c r="F3" t="s">
        <v>44</v>
      </c>
    </row>
    <row r="4" spans="1:6" ht="28.8">
      <c r="A4" s="2" t="s">
        <v>51</v>
      </c>
      <c r="B4">
        <v>127753.12</v>
      </c>
      <c r="C4">
        <v>161585.54</v>
      </c>
      <c r="D4">
        <v>258340.58</v>
      </c>
      <c r="E4">
        <v>300517</v>
      </c>
      <c r="F4" s="7">
        <v>307522</v>
      </c>
    </row>
    <row r="5" spans="1:6" ht="28.8">
      <c r="A5" s="2" t="s">
        <v>52</v>
      </c>
      <c r="B5">
        <v>55743.53</v>
      </c>
      <c r="C5">
        <v>74743.320000000007</v>
      </c>
      <c r="D5">
        <v>149808.1</v>
      </c>
      <c r="E5">
        <v>177847</v>
      </c>
      <c r="F5" s="7">
        <v>178836</v>
      </c>
    </row>
    <row r="6" spans="1:6" ht="43.2">
      <c r="A6" s="2" t="s">
        <v>53</v>
      </c>
      <c r="B6">
        <f>B4-B5</f>
        <v>72009.59</v>
      </c>
      <c r="C6">
        <f>C4-C5</f>
        <v>86842.22</v>
      </c>
      <c r="D6">
        <f>D4-D5</f>
        <v>108532.47999999998</v>
      </c>
      <c r="E6">
        <f>E4-E5</f>
        <v>122670</v>
      </c>
      <c r="F6">
        <f>F4-F5</f>
        <v>128686</v>
      </c>
    </row>
    <row r="7" spans="1:6" ht="43.2">
      <c r="A7" s="2" t="s">
        <v>54</v>
      </c>
      <c r="B7" s="3"/>
    </row>
    <row r="8" spans="1:6">
      <c r="A8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D364-EE66-415D-8EE4-93FE2FED46C9}">
  <dimension ref="A1:F8"/>
  <sheetViews>
    <sheetView workbookViewId="0">
      <selection activeCell="B8" sqref="B8"/>
    </sheetView>
  </sheetViews>
  <sheetFormatPr defaultRowHeight="14.4"/>
  <sheetData>
    <row r="1" spans="1:6" ht="72">
      <c r="A1" s="2" t="s">
        <v>55</v>
      </c>
    </row>
    <row r="3" spans="1:6" ht="28.8">
      <c r="A3" s="2" t="s">
        <v>41</v>
      </c>
      <c r="B3" t="s">
        <v>42</v>
      </c>
      <c r="C3" s="7" t="s">
        <v>43</v>
      </c>
      <c r="D3" s="7" t="s">
        <v>21</v>
      </c>
      <c r="E3" t="s">
        <v>22</v>
      </c>
      <c r="F3" t="s">
        <v>44</v>
      </c>
    </row>
    <row r="4" spans="1:6" ht="28.8">
      <c r="A4" s="2" t="s">
        <v>56</v>
      </c>
      <c r="B4" s="8">
        <v>1.17E-2</v>
      </c>
      <c r="C4" s="8">
        <v>1.12E-2</v>
      </c>
      <c r="D4" s="9">
        <v>1.24E-2</v>
      </c>
      <c r="E4" s="8">
        <v>1.3299999999999999E-2</v>
      </c>
      <c r="F4" s="8">
        <v>1.2500000000000001E-2</v>
      </c>
    </row>
    <row r="5" spans="1:6" ht="28.8">
      <c r="A5" s="2" t="s">
        <v>57</v>
      </c>
      <c r="B5" s="9">
        <v>3.2000000000000002E-3</v>
      </c>
      <c r="C5" s="9">
        <v>2.7000000000000001E-3</v>
      </c>
      <c r="D5" s="8">
        <v>3.3E-3</v>
      </c>
      <c r="E5" s="8">
        <v>4.3E-3</v>
      </c>
      <c r="F5" s="8">
        <v>3.2000000000000002E-3</v>
      </c>
    </row>
    <row r="6" spans="1:6" ht="43.2">
      <c r="A6" s="2" t="s">
        <v>58</v>
      </c>
      <c r="B6" s="8">
        <v>0.73399999999999999</v>
      </c>
      <c r="C6" s="8">
        <v>0.76100000000000001</v>
      </c>
      <c r="D6" s="8">
        <v>0.73099999999999998</v>
      </c>
      <c r="E6" s="8">
        <v>0.68</v>
      </c>
      <c r="F6" s="8">
        <v>0.74</v>
      </c>
    </row>
    <row r="7" spans="1:6" ht="28.8">
      <c r="A7" s="2" t="s">
        <v>59</v>
      </c>
      <c r="B7" s="8">
        <v>9.4000000000000004E-3</v>
      </c>
      <c r="C7" s="8">
        <v>6.7000000000000002E-3</v>
      </c>
      <c r="D7" s="8">
        <v>5.8999999999999999E-3</v>
      </c>
      <c r="E7" s="8">
        <v>6.7000000000000002E-3</v>
      </c>
      <c r="F7" s="9">
        <v>5.7999999999999996E-3</v>
      </c>
    </row>
    <row r="8" spans="1:6" ht="43.2">
      <c r="A8" s="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E3F9-D87F-4563-868E-FD77EB6427A0}">
  <dimension ref="A1:F8"/>
  <sheetViews>
    <sheetView workbookViewId="0">
      <selection activeCell="F8" sqref="F8"/>
    </sheetView>
  </sheetViews>
  <sheetFormatPr defaultRowHeight="14.4"/>
  <sheetData>
    <row r="1" spans="1:6" ht="72">
      <c r="A1" s="2" t="s">
        <v>61</v>
      </c>
    </row>
    <row r="3" spans="1:6" ht="28.8">
      <c r="A3" s="2" t="s">
        <v>41</v>
      </c>
      <c r="B3" t="s">
        <v>42</v>
      </c>
      <c r="C3" t="s">
        <v>43</v>
      </c>
      <c r="D3" t="s">
        <v>21</v>
      </c>
      <c r="E3" t="s">
        <v>22</v>
      </c>
      <c r="F3" t="s">
        <v>44</v>
      </c>
    </row>
    <row r="4" spans="1:6" ht="43.2">
      <c r="A4" s="2" t="s">
        <v>62</v>
      </c>
      <c r="B4" s="1">
        <v>36068</v>
      </c>
      <c r="C4" s="1">
        <v>44108</v>
      </c>
      <c r="D4" s="1">
        <v>60812</v>
      </c>
      <c r="E4" s="1">
        <v>67347</v>
      </c>
      <c r="F4" s="1">
        <v>77550</v>
      </c>
    </row>
    <row r="5" spans="1:6" ht="28.8">
      <c r="A5" s="2" t="s">
        <v>63</v>
      </c>
      <c r="C5" s="3">
        <f>(C4-B4)/B4</f>
        <v>0.2229122768104691</v>
      </c>
      <c r="D5" s="3">
        <f>(D4-C4)/C4</f>
        <v>0.37870681055590821</v>
      </c>
      <c r="E5" s="3">
        <f>(E4-D4)/D4</f>
        <v>0.10746234295862658</v>
      </c>
      <c r="F5" s="3">
        <f>(F4-E4)/E4</f>
        <v>0.15149895318276985</v>
      </c>
    </row>
    <row r="6" spans="1:6">
      <c r="A6" t="s">
        <v>31</v>
      </c>
      <c r="B6" s="8">
        <v>1.9E-2</v>
      </c>
      <c r="C6" s="8">
        <v>0.02</v>
      </c>
      <c r="D6" s="8">
        <v>1.9E-2</v>
      </c>
      <c r="E6" s="8">
        <v>1.9E-2</v>
      </c>
      <c r="F6" s="8">
        <v>1.9E-2</v>
      </c>
    </row>
    <row r="7" spans="1:6">
      <c r="A7" t="s">
        <v>32</v>
      </c>
      <c r="B7" s="8">
        <v>0.16500000000000001</v>
      </c>
      <c r="C7" s="8">
        <v>0.17</v>
      </c>
      <c r="D7" s="8">
        <v>0.17399999999999999</v>
      </c>
      <c r="E7" s="8">
        <v>0.14000000000000001</v>
      </c>
      <c r="F7" s="8">
        <v>0.14799999999999999</v>
      </c>
    </row>
    <row r="8" spans="1:6" ht="43.2">
      <c r="A8" s="2" t="s">
        <v>64</v>
      </c>
      <c r="B8" s="8">
        <v>0.40500000000000003</v>
      </c>
      <c r="C8" s="8">
        <v>0.40200000000000002</v>
      </c>
      <c r="D8" s="8">
        <v>0.41299999999999998</v>
      </c>
      <c r="E8" s="8">
        <v>0.40300000000000002</v>
      </c>
      <c r="F8" s="8">
        <v>0.39500000000000002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FD53-2DCE-4051-A0C9-A1878408055B}">
  <dimension ref="A1:F8"/>
  <sheetViews>
    <sheetView workbookViewId="0">
      <selection activeCell="F7" sqref="F7"/>
    </sheetView>
  </sheetViews>
  <sheetFormatPr defaultRowHeight="14.4"/>
  <sheetData>
    <row r="1" spans="1:6" ht="86.4">
      <c r="A1" s="2" t="s">
        <v>65</v>
      </c>
    </row>
    <row r="3" spans="1:6" ht="28.8">
      <c r="A3" s="7" t="s">
        <v>41</v>
      </c>
      <c r="B3" t="s">
        <v>42</v>
      </c>
      <c r="C3" t="s">
        <v>43</v>
      </c>
      <c r="D3" t="s">
        <v>21</v>
      </c>
      <c r="E3" t="s">
        <v>22</v>
      </c>
      <c r="F3" t="s">
        <v>44</v>
      </c>
    </row>
    <row r="4" spans="1:6" ht="57.6">
      <c r="A4" s="2" t="s">
        <v>66</v>
      </c>
      <c r="B4" s="8">
        <v>0.189</v>
      </c>
      <c r="C4" s="8">
        <v>0.193</v>
      </c>
      <c r="D4" s="8">
        <v>0.188</v>
      </c>
      <c r="E4" s="8">
        <v>0.19600000000000001</v>
      </c>
      <c r="F4" s="8">
        <v>0.192</v>
      </c>
    </row>
    <row r="5" spans="1:6">
      <c r="A5" t="s">
        <v>67</v>
      </c>
      <c r="B5" s="8">
        <v>0.16400000000000001</v>
      </c>
      <c r="C5" s="8">
        <v>0.17199999999999999</v>
      </c>
      <c r="D5" s="8">
        <v>0.16500000000000001</v>
      </c>
      <c r="E5" s="8">
        <v>0.17100000000000001</v>
      </c>
      <c r="F5" s="8">
        <v>0.17100000000000001</v>
      </c>
    </row>
    <row r="6" spans="1:6" ht="43.2">
      <c r="A6" s="2" t="s">
        <v>68</v>
      </c>
      <c r="B6" s="8">
        <v>0.16400000000000001</v>
      </c>
      <c r="C6" s="8">
        <v>0.17199999999999999</v>
      </c>
      <c r="D6" s="8">
        <v>0.16500000000000001</v>
      </c>
      <c r="E6" s="8">
        <v>0.17100000000000001</v>
      </c>
      <c r="F6" s="8">
        <v>0.17100000000000001</v>
      </c>
    </row>
    <row r="7" spans="1:6" ht="86.4">
      <c r="A7" s="2" t="s">
        <v>69</v>
      </c>
      <c r="B7" s="3">
        <f>B4-11.5%</f>
        <v>7.3999999999999996E-2</v>
      </c>
      <c r="C7" s="3">
        <f t="shared" ref="C7:F7" si="0">C4-11.5%</f>
        <v>7.8E-2</v>
      </c>
      <c r="D7" s="3">
        <f t="shared" si="0"/>
        <v>7.2999999999999995E-2</v>
      </c>
      <c r="E7" s="3">
        <f t="shared" si="0"/>
        <v>8.1000000000000003E-2</v>
      </c>
      <c r="F7" s="3">
        <f t="shared" si="0"/>
        <v>7.6999999999999999E-2</v>
      </c>
    </row>
    <row r="8" spans="1:6" ht="57.6">
      <c r="A8" s="2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7381-F748-41C7-9B30-14873BFF9B7D}">
  <dimension ref="A1:E10"/>
  <sheetViews>
    <sheetView workbookViewId="0">
      <selection activeCell="E10" sqref="E10"/>
    </sheetView>
  </sheetViews>
  <sheetFormatPr defaultRowHeight="14.4"/>
  <sheetData>
    <row r="1" spans="1:5" ht="72">
      <c r="A1" s="2" t="s">
        <v>71</v>
      </c>
    </row>
    <row r="3" spans="1:5" ht="28.8">
      <c r="A3" s="2" t="s">
        <v>41</v>
      </c>
      <c r="B3" s="2" t="s">
        <v>74</v>
      </c>
      <c r="C3" s="7" t="s">
        <v>77</v>
      </c>
      <c r="D3" t="s">
        <v>75</v>
      </c>
      <c r="E3" s="10" t="s">
        <v>76</v>
      </c>
    </row>
    <row r="4" spans="1:5">
      <c r="A4" t="s">
        <v>0</v>
      </c>
      <c r="B4" s="8">
        <v>3.4000000000000002E-2</v>
      </c>
      <c r="C4" s="8">
        <v>0.04</v>
      </c>
      <c r="D4" s="8">
        <v>3.5999999999999997E-2</v>
      </c>
      <c r="E4" s="8">
        <v>4.9000000000000002E-2</v>
      </c>
    </row>
    <row r="5" spans="1:5">
      <c r="A5" t="s">
        <v>72</v>
      </c>
      <c r="B5" s="8">
        <v>1.2500000000000001E-2</v>
      </c>
      <c r="C5" s="8">
        <v>1.4E-2</v>
      </c>
      <c r="D5" s="8">
        <v>1.54E-2</v>
      </c>
      <c r="E5" s="8">
        <v>0.01</v>
      </c>
    </row>
    <row r="6" spans="1:5">
      <c r="A6" t="s">
        <v>31</v>
      </c>
      <c r="B6" s="8">
        <v>1.9E-2</v>
      </c>
      <c r="C6" s="8">
        <v>0.02</v>
      </c>
      <c r="D6" s="8">
        <v>1.7999999999999999E-2</v>
      </c>
      <c r="E6" s="8">
        <v>0.02</v>
      </c>
    </row>
    <row r="7" spans="1:5">
      <c r="A7" t="s">
        <v>32</v>
      </c>
      <c r="B7" s="8">
        <v>0.14799999999999999</v>
      </c>
      <c r="C7" s="8">
        <v>0.14499999999999999</v>
      </c>
      <c r="D7" s="8">
        <v>0.15</v>
      </c>
      <c r="E7" s="8">
        <v>0.155</v>
      </c>
    </row>
    <row r="8" spans="1:5">
      <c r="A8" t="s">
        <v>73</v>
      </c>
      <c r="B8" s="8">
        <v>0.192</v>
      </c>
      <c r="C8" s="8">
        <v>0.17</v>
      </c>
      <c r="D8" s="8">
        <v>0.16</v>
      </c>
      <c r="E8" s="8">
        <v>0.155</v>
      </c>
    </row>
    <row r="9" spans="1:5" ht="28.8">
      <c r="A9" s="2" t="s">
        <v>48</v>
      </c>
      <c r="B9" s="12">
        <v>0.11</v>
      </c>
      <c r="C9" s="11">
        <v>0.15</v>
      </c>
      <c r="D9" s="11">
        <v>0.12</v>
      </c>
      <c r="E9" s="11">
        <v>0.14000000000000001</v>
      </c>
    </row>
    <row r="10" spans="1:5" ht="28.8">
      <c r="A10" s="2" t="s">
        <v>78</v>
      </c>
      <c r="B10" s="11">
        <v>0.14000000000000001</v>
      </c>
      <c r="C10" s="11">
        <v>0.13</v>
      </c>
      <c r="D10" s="11">
        <v>0.12</v>
      </c>
      <c r="E10" s="12">
        <v>0.15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9038-8DA0-4407-AC4F-A317790B711A}">
  <dimension ref="A1:F11"/>
  <sheetViews>
    <sheetView workbookViewId="0">
      <selection activeCell="D11" sqref="D11"/>
    </sheetView>
  </sheetViews>
  <sheetFormatPr defaultRowHeight="14.4"/>
  <sheetData>
    <row r="1" spans="1:6" ht="86.4">
      <c r="A1" s="2" t="s">
        <v>79</v>
      </c>
    </row>
    <row r="3" spans="1:6" ht="28.8">
      <c r="A3" s="2" t="s">
        <v>41</v>
      </c>
      <c r="B3" t="s">
        <v>80</v>
      </c>
      <c r="C3" t="s">
        <v>81</v>
      </c>
      <c r="D3" t="s">
        <v>81</v>
      </c>
      <c r="E3" t="s">
        <v>82</v>
      </c>
      <c r="F3" t="s">
        <v>83</v>
      </c>
    </row>
    <row r="4" spans="1:6" ht="28.8">
      <c r="A4" s="2" t="s">
        <v>48</v>
      </c>
      <c r="B4" s="11">
        <v>0.11</v>
      </c>
      <c r="C4" s="11">
        <v>0.12</v>
      </c>
      <c r="D4" s="11">
        <v>0.12</v>
      </c>
      <c r="E4" s="11">
        <v>0.13</v>
      </c>
      <c r="F4" s="11">
        <v>0.13</v>
      </c>
    </row>
    <row r="5" spans="1:6" ht="28.8">
      <c r="A5" s="2" t="s">
        <v>47</v>
      </c>
      <c r="B5" s="11">
        <v>0.14000000000000001</v>
      </c>
      <c r="C5" s="11">
        <v>0.13</v>
      </c>
      <c r="D5" s="11">
        <v>0.13</v>
      </c>
      <c r="E5" s="11">
        <v>0.13</v>
      </c>
      <c r="F5" s="11">
        <v>0.13</v>
      </c>
    </row>
    <row r="6" spans="1:6">
      <c r="A6" t="s">
        <v>84</v>
      </c>
      <c r="B6" s="11">
        <v>0.05</v>
      </c>
      <c r="C6" s="11">
        <v>0.1</v>
      </c>
      <c r="D6" s="11">
        <v>0.11</v>
      </c>
      <c r="E6" s="11">
        <v>0.11</v>
      </c>
      <c r="F6" s="11">
        <v>0.1</v>
      </c>
    </row>
    <row r="7" spans="1:6">
      <c r="A7" t="s">
        <v>63</v>
      </c>
      <c r="B7" s="11">
        <v>0.15</v>
      </c>
      <c r="C7" s="11">
        <v>0.12</v>
      </c>
      <c r="D7" s="11">
        <v>0.12</v>
      </c>
      <c r="E7" s="11">
        <v>0.11</v>
      </c>
      <c r="F7" s="11">
        <v>0.1</v>
      </c>
    </row>
    <row r="8" spans="1:6">
      <c r="A8" t="s">
        <v>0</v>
      </c>
      <c r="B8" s="8">
        <v>3.4000000000000002E-2</v>
      </c>
      <c r="C8" s="8">
        <v>3.5000000000000003E-2</v>
      </c>
      <c r="D8" s="8">
        <v>3.5000000000000003E-2</v>
      </c>
      <c r="E8" s="8">
        <v>3.5000000000000003E-2</v>
      </c>
      <c r="F8" s="8">
        <v>3.5000000000000003E-2</v>
      </c>
    </row>
    <row r="10" spans="1:6" ht="43.2">
      <c r="A10" s="2" t="s">
        <v>85</v>
      </c>
      <c r="B10">
        <f>128686</f>
        <v>128686</v>
      </c>
      <c r="C10">
        <f>B10*(1+C6)</f>
        <v>141554.6</v>
      </c>
      <c r="D10">
        <f>C10*(1+D6)</f>
        <v>157125.60600000003</v>
      </c>
      <c r="E10">
        <f>D10*(1+E6)</f>
        <v>174409.42266000004</v>
      </c>
      <c r="F10">
        <f>E10*(1+F6)</f>
        <v>191850.36492600007</v>
      </c>
    </row>
    <row r="11" spans="1:6" ht="43.2">
      <c r="A11" s="2" t="s">
        <v>86</v>
      </c>
      <c r="B11">
        <f>77550</f>
        <v>77550</v>
      </c>
      <c r="C11">
        <f>B11*(1+C7)</f>
        <v>86856.000000000015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65EF-BEB1-4ABC-A060-B7C158DB5741}">
  <dimension ref="A1:B11"/>
  <sheetViews>
    <sheetView topLeftCell="A4" workbookViewId="0">
      <selection activeCell="B11" sqref="B11"/>
    </sheetView>
  </sheetViews>
  <sheetFormatPr defaultRowHeight="14.4"/>
  <sheetData>
    <row r="1" spans="1:2" ht="72">
      <c r="A1" s="2" t="s">
        <v>87</v>
      </c>
    </row>
    <row r="3" spans="1:2" ht="28.8">
      <c r="A3" s="2" t="s">
        <v>88</v>
      </c>
      <c r="B3" t="s">
        <v>89</v>
      </c>
    </row>
    <row r="4" spans="1:2" ht="57.6">
      <c r="A4" s="2" t="s">
        <v>90</v>
      </c>
      <c r="B4">
        <v>366</v>
      </c>
    </row>
    <row r="5" spans="1:2" ht="43.2">
      <c r="A5" s="2" t="s">
        <v>91</v>
      </c>
      <c r="B5">
        <v>732.9</v>
      </c>
    </row>
    <row r="6" spans="1:2" ht="28.8">
      <c r="A6" s="7" t="s">
        <v>92</v>
      </c>
      <c r="B6">
        <f>B5/B4</f>
        <v>2.0024590163934426</v>
      </c>
    </row>
    <row r="7" spans="1:2" ht="57.6">
      <c r="A7" s="2" t="s">
        <v>93</v>
      </c>
      <c r="B7" s="11">
        <v>0.12</v>
      </c>
    </row>
    <row r="8" spans="1:2" ht="57.6">
      <c r="A8" s="2" t="s">
        <v>94</v>
      </c>
      <c r="B8">
        <f>B4*(1+B7)</f>
        <v>409.92</v>
      </c>
    </row>
    <row r="9" spans="1:2" ht="43.2">
      <c r="A9" s="2" t="s">
        <v>95</v>
      </c>
      <c r="B9">
        <v>2.2000000000000002</v>
      </c>
    </row>
    <row r="10" spans="1:2" ht="57.6">
      <c r="A10" s="2" t="s">
        <v>96</v>
      </c>
      <c r="B10">
        <f>B8*B9</f>
        <v>901.82400000000007</v>
      </c>
    </row>
    <row r="11" spans="1:2" ht="28.8">
      <c r="A11" s="2" t="s">
        <v>97</v>
      </c>
      <c r="B11" s="3">
        <f>(B10/B5)-1</f>
        <v>0.23048710601719202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C63C-22DD-4764-AA8F-366B84E9C0B7}">
  <dimension ref="A1:D10"/>
  <sheetViews>
    <sheetView workbookViewId="0">
      <selection activeCell="D9" sqref="D9"/>
    </sheetView>
  </sheetViews>
  <sheetFormatPr defaultRowHeight="14.4"/>
  <sheetData>
    <row r="1" spans="1:4" ht="115.2">
      <c r="A1" s="2" t="s">
        <v>98</v>
      </c>
    </row>
    <row r="3" spans="1:4" ht="28.8">
      <c r="A3" s="2" t="s">
        <v>88</v>
      </c>
      <c r="B3" t="s">
        <v>101</v>
      </c>
      <c r="C3" t="s">
        <v>99</v>
      </c>
      <c r="D3" t="s">
        <v>100</v>
      </c>
    </row>
    <row r="4" spans="1:4" ht="43.2">
      <c r="A4" s="7" t="s">
        <v>102</v>
      </c>
      <c r="B4" s="11">
        <v>0.08</v>
      </c>
      <c r="C4" s="11">
        <v>0.12</v>
      </c>
      <c r="D4" s="11">
        <v>0.15</v>
      </c>
    </row>
    <row r="5" spans="1:4" ht="28.8">
      <c r="A5" s="7" t="s">
        <v>103</v>
      </c>
      <c r="B5">
        <f>366*(1+B4)</f>
        <v>395.28000000000003</v>
      </c>
      <c r="C5">
        <f>366*(1+C4)</f>
        <v>409.92</v>
      </c>
      <c r="D5">
        <f>366*(1+D4)</f>
        <v>420.9</v>
      </c>
    </row>
    <row r="6" spans="1:4">
      <c r="A6" t="s">
        <v>104</v>
      </c>
      <c r="B6">
        <v>1.8</v>
      </c>
      <c r="C6">
        <v>2.2000000000000002</v>
      </c>
      <c r="D6">
        <v>2.5</v>
      </c>
    </row>
    <row r="7" spans="1:4" ht="43.2">
      <c r="A7" s="7" t="s">
        <v>105</v>
      </c>
      <c r="B7">
        <f>B5*B6</f>
        <v>711.50400000000002</v>
      </c>
      <c r="C7">
        <f>C5*C6</f>
        <v>901.82400000000007</v>
      </c>
      <c r="D7" s="13">
        <f>D5*D6</f>
        <v>1052.25</v>
      </c>
    </row>
    <row r="8" spans="1:4" ht="43.2">
      <c r="A8" s="7" t="s">
        <v>91</v>
      </c>
      <c r="B8">
        <v>732.9</v>
      </c>
      <c r="C8">
        <v>732.9</v>
      </c>
      <c r="D8">
        <v>732.9</v>
      </c>
    </row>
    <row r="9" spans="1:4" ht="43.2">
      <c r="A9" s="7" t="s">
        <v>91</v>
      </c>
      <c r="B9" s="3">
        <f>(B7/B8)-1</f>
        <v>-2.919361440851409E-2</v>
      </c>
      <c r="C9" s="14">
        <f>(C7/C8)-1</f>
        <v>0.23048710601719202</v>
      </c>
      <c r="D9" s="3">
        <f>(D7/D8)-1</f>
        <v>0.43573475235366366</v>
      </c>
    </row>
    <row r="10" spans="1:4">
      <c r="A1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C812-2DC1-4E60-819C-6658737D3174}">
  <dimension ref="A1"/>
  <sheetViews>
    <sheetView topLeftCell="M1"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41F2-892A-4DFA-853E-5E34B204C785}">
  <dimension ref="A1:B12"/>
  <sheetViews>
    <sheetView topLeftCell="A4" zoomScale="90" workbookViewId="0">
      <selection activeCell="B14" sqref="B14"/>
    </sheetView>
  </sheetViews>
  <sheetFormatPr defaultRowHeight="14.4"/>
  <sheetData>
    <row r="1" spans="1:2">
      <c r="A1" s="15" t="s">
        <v>106</v>
      </c>
    </row>
    <row r="3" spans="1:2" ht="28.8">
      <c r="A3" s="16" t="s">
        <v>107</v>
      </c>
      <c r="B3" t="s">
        <v>120</v>
      </c>
    </row>
    <row r="4" spans="1:2" ht="43.2">
      <c r="A4" s="16" t="s">
        <v>108</v>
      </c>
      <c r="B4" t="s">
        <v>114</v>
      </c>
    </row>
    <row r="5" spans="1:2" ht="28.8">
      <c r="A5" s="16" t="s">
        <v>109</v>
      </c>
      <c r="B5" t="s">
        <v>115</v>
      </c>
    </row>
    <row r="6" spans="1:2">
      <c r="A6" s="15" t="s">
        <v>110</v>
      </c>
      <c r="B6" t="s">
        <v>116</v>
      </c>
    </row>
    <row r="7" spans="1:2">
      <c r="A7" s="15" t="s">
        <v>111</v>
      </c>
      <c r="B7" t="s">
        <v>117</v>
      </c>
    </row>
    <row r="8" spans="1:2" ht="28.8">
      <c r="A8" s="16" t="s">
        <v>112</v>
      </c>
      <c r="B8" t="s">
        <v>118</v>
      </c>
    </row>
    <row r="9" spans="1:2" ht="43.2">
      <c r="A9" s="16" t="s">
        <v>113</v>
      </c>
      <c r="B9" t="s">
        <v>119</v>
      </c>
    </row>
    <row r="12" spans="1:2">
      <c r="A12" s="15" t="s">
        <v>121</v>
      </c>
      <c r="B12" t="s">
        <v>122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0A14-1A40-4551-8DE4-82D822E2F3CA}">
  <dimension ref="A1:J21"/>
  <sheetViews>
    <sheetView tabSelected="1" zoomScale="76" workbookViewId="0"/>
  </sheetViews>
  <sheetFormatPr defaultRowHeight="14.4"/>
  <cols>
    <col min="2" max="2" width="9.44140625" bestFit="1" customWidth="1"/>
    <col min="5" max="5" width="9.44140625" bestFit="1" customWidth="1"/>
  </cols>
  <sheetData>
    <row r="1" spans="1:10" ht="15.6">
      <c r="A1" s="20" t="s">
        <v>123</v>
      </c>
    </row>
    <row r="2" spans="1:10">
      <c r="A2" t="s">
        <v>124</v>
      </c>
    </row>
    <row r="4" spans="1:10" ht="57.6">
      <c r="A4" s="2" t="s">
        <v>125</v>
      </c>
      <c r="D4" s="2" t="s">
        <v>134</v>
      </c>
      <c r="H4" t="s">
        <v>151</v>
      </c>
      <c r="I4" t="s">
        <v>152</v>
      </c>
    </row>
    <row r="5" spans="1:10" ht="43.2">
      <c r="A5" t="s">
        <v>39</v>
      </c>
      <c r="B5" s="11">
        <v>0.16</v>
      </c>
      <c r="D5" s="2" t="s">
        <v>91</v>
      </c>
      <c r="E5" s="17">
        <v>732.9</v>
      </c>
      <c r="H5" t="s">
        <v>42</v>
      </c>
      <c r="I5">
        <v>72009.59</v>
      </c>
    </row>
    <row r="6" spans="1:10" ht="43.2">
      <c r="A6" s="7" t="s">
        <v>126</v>
      </c>
      <c r="B6" s="11">
        <v>0.05</v>
      </c>
      <c r="D6" s="2" t="s">
        <v>135</v>
      </c>
      <c r="E6" s="17">
        <v>901.82</v>
      </c>
      <c r="H6" t="s">
        <v>43</v>
      </c>
      <c r="I6">
        <v>86842.22</v>
      </c>
    </row>
    <row r="7" spans="1:10" ht="43.2">
      <c r="A7" s="7" t="s">
        <v>127</v>
      </c>
      <c r="B7" s="11">
        <v>0.11</v>
      </c>
      <c r="D7" s="7" t="s">
        <v>136</v>
      </c>
      <c r="E7" s="8">
        <v>0.23</v>
      </c>
      <c r="H7" t="s">
        <v>21</v>
      </c>
      <c r="I7">
        <v>108532.5</v>
      </c>
    </row>
    <row r="8" spans="1:10" ht="43.2">
      <c r="A8" s="2" t="s">
        <v>128</v>
      </c>
      <c r="B8" s="11">
        <v>0.14000000000000001</v>
      </c>
      <c r="D8" s="7" t="s">
        <v>137</v>
      </c>
      <c r="E8" s="17">
        <v>711.5</v>
      </c>
      <c r="H8" t="s">
        <v>22</v>
      </c>
      <c r="I8">
        <v>122670</v>
      </c>
    </row>
    <row r="9" spans="1:10" ht="28.8">
      <c r="A9" s="7" t="s">
        <v>129</v>
      </c>
      <c r="B9" s="8">
        <v>3.5000000000000003E-2</v>
      </c>
      <c r="D9" t="s">
        <v>138</v>
      </c>
      <c r="E9" s="17">
        <v>1052.25</v>
      </c>
      <c r="H9" t="s">
        <v>44</v>
      </c>
      <c r="I9">
        <v>128686</v>
      </c>
    </row>
    <row r="10" spans="1:10" ht="28.8">
      <c r="A10" s="7" t="s">
        <v>130</v>
      </c>
      <c r="B10" s="8">
        <v>1.2500000000000001E-2</v>
      </c>
      <c r="D10" s="2" t="s">
        <v>139</v>
      </c>
      <c r="E10" t="s">
        <v>140</v>
      </c>
    </row>
    <row r="11" spans="1:10" ht="28.8">
      <c r="A11" s="7" t="s">
        <v>131</v>
      </c>
      <c r="B11" s="8">
        <v>1.9E-2</v>
      </c>
      <c r="D11" s="2" t="s">
        <v>104</v>
      </c>
      <c r="E11" t="s">
        <v>141</v>
      </c>
    </row>
    <row r="12" spans="1:10" ht="28.8">
      <c r="A12" s="7" t="s">
        <v>132</v>
      </c>
      <c r="B12" s="8">
        <v>0.14799999999999999</v>
      </c>
      <c r="D12" s="7" t="s">
        <v>107</v>
      </c>
      <c r="E12" t="s">
        <v>142</v>
      </c>
    </row>
    <row r="13" spans="1:10" ht="28.8">
      <c r="A13" s="7" t="s">
        <v>133</v>
      </c>
      <c r="B13" s="8">
        <v>0.192</v>
      </c>
      <c r="D13" s="7"/>
    </row>
    <row r="16" spans="1:10" ht="57.6">
      <c r="A16" s="2" t="s">
        <v>143</v>
      </c>
      <c r="D16" s="2" t="s">
        <v>150</v>
      </c>
      <c r="H16" t="s">
        <v>151</v>
      </c>
      <c r="I16" s="7" t="s">
        <v>153</v>
      </c>
      <c r="J16" t="s">
        <v>154</v>
      </c>
    </row>
    <row r="17" spans="1:10" ht="43.2">
      <c r="A17" t="s">
        <v>144</v>
      </c>
      <c r="B17" s="2" t="s">
        <v>145</v>
      </c>
      <c r="C17" s="2" t="s">
        <v>146</v>
      </c>
      <c r="H17" t="s">
        <v>42</v>
      </c>
      <c r="I17">
        <v>1368821</v>
      </c>
      <c r="J17">
        <v>1559217</v>
      </c>
    </row>
    <row r="18" spans="1:10">
      <c r="A18" t="s">
        <v>147</v>
      </c>
      <c r="B18" s="18">
        <v>711.5</v>
      </c>
      <c r="C18" s="8">
        <v>-2.9000000000000001E-2</v>
      </c>
      <c r="H18" t="s">
        <v>43</v>
      </c>
      <c r="I18">
        <v>1600586</v>
      </c>
      <c r="J18">
        <v>1883395</v>
      </c>
    </row>
    <row r="19" spans="1:10">
      <c r="A19" t="s">
        <v>148</v>
      </c>
      <c r="B19" s="18">
        <v>901.82</v>
      </c>
      <c r="C19" s="8">
        <v>0.23</v>
      </c>
      <c r="H19" t="s">
        <v>21</v>
      </c>
      <c r="I19">
        <v>2484862</v>
      </c>
      <c r="J19">
        <v>2379786</v>
      </c>
    </row>
    <row r="20" spans="1:10">
      <c r="A20" t="s">
        <v>149</v>
      </c>
      <c r="B20" s="17">
        <v>1052.25</v>
      </c>
      <c r="C20" s="8">
        <v>0.436</v>
      </c>
      <c r="H20" t="s">
        <v>22</v>
      </c>
      <c r="I20">
        <v>2643500</v>
      </c>
      <c r="J20">
        <v>2714715</v>
      </c>
    </row>
    <row r="21" spans="1:10">
      <c r="H21" t="s">
        <v>44</v>
      </c>
      <c r="I21">
        <v>2937166</v>
      </c>
      <c r="J21">
        <v>3105300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BANK OVERVIEW</vt:lpstr>
      <vt:lpstr>2. HISTORICAL FINANCES</vt:lpstr>
      <vt:lpstr>3. LOANS &amp; DIPOSITS</vt:lpstr>
      <vt:lpstr>4.NII &amp; NIM</vt:lpstr>
      <vt:lpstr>5. ASSET QUALITY</vt:lpstr>
      <vt:lpstr>6.PROFITABILITY</vt:lpstr>
      <vt:lpstr>7. CAPITAL ADEQUACY</vt:lpstr>
      <vt:lpstr>8.PEER COMPARISION</vt:lpstr>
      <vt:lpstr>9.FORECASTS</vt:lpstr>
      <vt:lpstr>10.VALUATION</vt:lpstr>
      <vt:lpstr>11.BULL BASE BEAR</vt:lpstr>
      <vt:lpstr>12.RISK ANALYSIS</vt:lpstr>
      <vt:lpstr>13.INVESTMENT THESIS</vt:lpstr>
      <vt:lpstr>HDFC BANK — EQUIFINAL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chowdary</dc:creator>
  <cp:lastModifiedBy>varshitha chowdary</cp:lastModifiedBy>
  <dcterms:created xsi:type="dcterms:W3CDTF">2026-08-21T15:02:31Z</dcterms:created>
  <dcterms:modified xsi:type="dcterms:W3CDTF">2026-08-25T05:25:43Z</dcterms:modified>
</cp:coreProperties>
</file>